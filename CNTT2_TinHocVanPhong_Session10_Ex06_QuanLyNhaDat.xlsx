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hSachNhaDat" sheetId="1" state="visible" r:id="rId2"/>
    <sheet name="MoPhongVLOOKUP_DeBa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<sst xmlns="http://schemas.openxmlformats.org/spreadsheetml/2006/main" count="97" uniqueCount="38">
  <si>
    <t xml:space="preserve">Mã BĐS</t>
  </si>
  <si>
    <t xml:space="preserve">Tên BĐS</t>
  </si>
  <si>
    <t xml:space="preserve">Loại BĐS</t>
  </si>
  <si>
    <t xml:space="preserve">Giá bán niêm yết (VND)</t>
  </si>
  <si>
    <t xml:space="preserve">Tỷ lệ chiết khấu</t>
  </si>
  <si>
    <t xml:space="preserve">Giá sau chiết khấu (VND)</t>
  </si>
  <si>
    <t xml:space="preserve">Giá thuê/tháng (VND)</t>
  </si>
  <si>
    <t xml:space="preserve">Mã MG</t>
  </si>
  <si>
    <t xml:space="preserve">Môi giới</t>
  </si>
  <si>
    <t xml:space="preserve">Tỷ lệ hoa hồng</t>
  </si>
  <si>
    <t xml:space="preserve">Hoa hồng (VND)</t>
  </si>
  <si>
    <t xml:space="preserve">SH001</t>
  </si>
  <si>
    <t xml:space="preserve">Villa Riverside</t>
  </si>
  <si>
    <t xml:space="preserve">Biệt thự</t>
  </si>
  <si>
    <t xml:space="preserve">MG01</t>
  </si>
  <si>
    <t xml:space="preserve">Nguyễn An</t>
  </si>
  <si>
    <t xml:space="preserve">SH002</t>
  </si>
  <si>
    <t xml:space="preserve">Sunrise Apartment</t>
  </si>
  <si>
    <t xml:space="preserve">Căn hộ</t>
  </si>
  <si>
    <t xml:space="preserve">MG02</t>
  </si>
  <si>
    <t xml:space="preserve">Trần Minh</t>
  </si>
  <si>
    <t xml:space="preserve">SH003</t>
  </si>
  <si>
    <t xml:space="preserve">Green Park House</t>
  </si>
  <si>
    <t xml:space="preserve">Nhà phố</t>
  </si>
  <si>
    <t xml:space="preserve">MG03</t>
  </si>
  <si>
    <t xml:space="preserve">Lê Hằng</t>
  </si>
  <si>
    <t xml:space="preserve">SH004</t>
  </si>
  <si>
    <t xml:space="preserve">Skyline Apartment</t>
  </si>
  <si>
    <t xml:space="preserve">MG04</t>
  </si>
  <si>
    <t xml:space="preserve">Phạm Nam</t>
  </si>
  <si>
    <t xml:space="preserve">SH005</t>
  </si>
  <si>
    <t xml:space="preserve">Ocean View Villa</t>
  </si>
  <si>
    <t xml:space="preserve">SH006</t>
  </si>
  <si>
    <t xml:space="preserve">Central House</t>
  </si>
  <si>
    <t xml:space="preserve">Tổng cộng</t>
  </si>
  <si>
    <t xml:space="preserve">6 BĐS</t>
  </si>
  <si>
    <t xml:space="preserve">-</t>
  </si>
  <si>
    <t xml:space="preserve">Giá bán (VND)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</si>
</sst>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6B45"/>
        <bgColor rgb="FF008080"/>
      </patternFill>
    </fill>
    <fill>
      <patternFill patternType="solid">
        <fgColor rgb="FF1E293B"/>
        <bgColor rgb="FF0F172A"/>
      </patternFill>
    </fill>
    <fill>
      <patternFill patternType="solid">
        <fgColor rgb="FFF1F8F4"/>
        <bgColor rgb="FFF9F9F9"/>
      </patternFill>
    </fill>
    <fill>
      <patternFill patternType="solid">
        <fgColor rgb="FFE2F0E8"/>
        <bgColor rgb="FFF1F8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E6B45"/>
      </top>
      <bottom style="double">
        <color rgb="FF1E6B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5"/>
      <rgbColor rgb="FFD9D9D9"/>
      <rgbColor rgb="FF878787"/>
      <rgbColor rgb="FF9999FF"/>
      <rgbColor rgb="FFC0504D"/>
      <rgbColor rgb="FFF9F9F9"/>
      <rgbColor rgb="FFE2F0E8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 sánh Giá niêm yết và Giá sau chiết khấu (VND)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DanhSachNhaDat!D1</c:f>
              <c:strCache>
                <c:ptCount val="1"/>
                <c:pt idx="0">
                  <c:v>Giá bán niêm yết (VND)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DanhSachNhaDat!$B$2:$B$7</c:f>
              <c:strCache>
                <c:ptCount val="6"/>
                <c:pt idx="0">
                  <c:v>Villa Riverside</c:v>
                </c:pt>
                <c:pt idx="1">
                  <c:v>Sunrise Apartment</c:v>
                </c:pt>
                <c:pt idx="2">
                  <c:v>Green Park House</c:v>
                </c:pt>
                <c:pt idx="3">
                  <c:v>Skyline Apartment</c:v>
                </c:pt>
                <c:pt idx="4">
                  <c:v>Ocean View Villa</c:v>
                </c:pt>
                <c:pt idx="5">
                  <c:v>Central House</c:v>
                </c:pt>
              </c:strCache>
            </c:strRef>
          </c:cat>
          <c:val>
            <c:numRef>
              <c:f>DanhSachNhaDat!$D$2:$D$7</c:f>
              <c:numCache>
                <c:formatCode>General</c:formatCode>
                <c:ptCount val="6"/>
                <c:pt idx="0">
                  <c:v>15000000000</c:v>
                </c:pt>
                <c:pt idx="1">
                  <c:v>3200000000</c:v>
                </c:pt>
                <c:pt idx="2">
                  <c:v>6800000000</c:v>
                </c:pt>
                <c:pt idx="3">
                  <c:v>2650000000</c:v>
                </c:pt>
                <c:pt idx="4">
                  <c:v>18500000000</c:v>
                </c:pt>
                <c:pt idx="5">
                  <c:v>5200000000</c:v>
                </c:pt>
              </c:numCache>
            </c:numRef>
          </c:val>
        </c:ser>
        <c:ser>
          <c:idx val="1"/>
          <c:order val="1"/>
          <c:tx>
            <c:strRef>
              <c:f>DanhSachNhaDat!F1</c:f>
              <c:strCache>
                <c:ptCount val="1"/>
                <c:pt idx="0">
                  <c:v>Giá sau chiết khấu (VND)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DanhSachNhaDat!$B$2:$B$7</c:f>
              <c:strCache>
                <c:ptCount val="6"/>
                <c:pt idx="0">
                  <c:v>Villa Riverside</c:v>
                </c:pt>
                <c:pt idx="1">
                  <c:v>Sunrise Apartment</c:v>
                </c:pt>
                <c:pt idx="2">
                  <c:v>Green Park House</c:v>
                </c:pt>
                <c:pt idx="3">
                  <c:v>Skyline Apartment</c:v>
                </c:pt>
                <c:pt idx="4">
                  <c:v>Ocean View Villa</c:v>
                </c:pt>
                <c:pt idx="5">
                  <c:v>Central House</c:v>
                </c:pt>
              </c:strCache>
            </c:strRef>
          </c:cat>
          <c:val>
            <c:numRef>
              <c:f>DanhSachNhaDat!$F$2:$F$7</c:f>
              <c:numCache>
                <c:formatCode>General</c:formatCode>
                <c:ptCount val="6"/>
                <c:pt idx="0">
                  <c:v>14250000000</c:v>
                </c:pt>
                <c:pt idx="1">
                  <c:v>3104000000</c:v>
                </c:pt>
                <c:pt idx="2">
                  <c:v>6528000000</c:v>
                </c:pt>
                <c:pt idx="3">
                  <c:v>2597000000</c:v>
                </c:pt>
                <c:pt idx="4">
                  <c:v>17575000000</c:v>
                </c:pt>
                <c:pt idx="5">
                  <c:v>5018000000</c:v>
                </c:pt>
              </c:numCache>
            </c:numRef>
          </c:val>
        </c:ser>
        <c:gapWidth val="150"/>
        <c:overlap val="0"/>
        <c:axId val="65413344"/>
        <c:axId val="54846713"/>
      </c:barChart>
      <c:catAx>
        <c:axId val="65413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Bất động sản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46713"/>
        <c:crosses val="autoZero"/>
        <c:auto val="1"/>
        <c:lblAlgn val="ctr"/>
        <c:lblOffset val="100"/>
        <c:noMultiLvlLbl val="0"/>
      </c:catAx>
      <c:valAx>
        <c:axId val="54846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Giá trị (VND)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13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Hoa hồng môi giới theo từng Bất động sản (VND)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MoPhongVLOOKUP_DeBai!G1</c:f>
              <c:strCache>
                <c:ptCount val="1"/>
                <c:pt idx="0">
                  <c:v>Hoa hồng (VND)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MoPhongVLOOKUP_DeBai!$B$2:$B$7</c:f>
              <c:strCache>
                <c:ptCount val="6"/>
                <c:pt idx="0">
                  <c:v>Villa Riverside</c:v>
                </c:pt>
                <c:pt idx="1">
                  <c:v>Sunrise Apartment</c:v>
                </c:pt>
                <c:pt idx="2">
                  <c:v>Green Park House</c:v>
                </c:pt>
                <c:pt idx="3">
                  <c:v>Skyline Apartment</c:v>
                </c:pt>
                <c:pt idx="4">
                  <c:v>Ocean View Villa</c:v>
                </c:pt>
                <c:pt idx="5">
                  <c:v>Central House</c:v>
                </c:pt>
              </c:strCache>
            </c:strRef>
          </c:cat>
          <c:val>
            <c:numRef>
              <c:f>MoPhongVLOOKUP_DeBai!$G$2:$G$7</c:f>
              <c:numCache>
                <c:formatCode>General</c:formatCode>
                <c:ptCount val="6"/>
                <c:pt idx="0">
                  <c:v>300000000</c:v>
                </c:pt>
                <c:pt idx="1">
                  <c:v>48000000</c:v>
                </c:pt>
                <c:pt idx="2">
                  <c:v>122400000</c:v>
                </c:pt>
                <c:pt idx="3">
                  <c:v>39750000</c:v>
                </c:pt>
                <c:pt idx="4">
                  <c:v>370000000</c:v>
                </c:pt>
                <c:pt idx="5">
                  <c:v>83200000</c:v>
                </c:pt>
              </c:numCache>
            </c:numRef>
          </c:val>
        </c:ser>
        <c:gapWidth val="150"/>
        <c:overlap val="0"/>
        <c:axId val="98659410"/>
        <c:axId val="13473638"/>
      </c:barChart>
      <c:catAx>
        <c:axId val="98659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Bất động sản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73638"/>
        <c:crosses val="autoZero"/>
        <c:auto val="1"/>
        <c:lblAlgn val="ctr"/>
        <c:lblOffset val="100"/>
        <c:noMultiLvlLbl val="0"/>
      </c:catAx>
      <c:valAx>
        <c:axId val="13473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Hoa hồng (VND)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59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1404720</xdr:colOff>
      <xdr:row>28</xdr:row>
      <xdr:rowOff>170640</xdr:rowOff>
    </xdr:to>
    <xdr:graphicFrame>
      <xdr:nvGraphicFramePr>
        <xdr:cNvPr id="0" name="Chart 1"/>
        <xdr:cNvGraphicFramePr/>
      </xdr:nvGraphicFramePr>
      <xdr:xfrm>
        <a:off x="0" y="2448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402840</xdr:colOff>
      <xdr:row>27</xdr:row>
      <xdr:rowOff>1080</xdr:rowOff>
    </xdr:to>
    <xdr:graphicFrame>
      <xdr:nvGraphicFramePr>
        <xdr:cNvPr id="1" name="Chart 1"/>
        <xdr:cNvGraphicFramePr/>
      </xdr:nvGraphicFramePr>
      <xdr:xfrm>
        <a:off x="0" y="2448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11" min="9" style="0" width="18"/>
    <col collapsed="false" customWidth="true" hidden="false" outlineLevel="0" max="12" min="12" style="0" width="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8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3" t="s">
        <v>9</v>
      </c>
      <c r="K1" s="3" t="s">
        <v>10</v>
      </c>
      <c r="M1" s="4" t="s">
        <v>7</v>
      </c>
      <c r="N1" s="5" t="s">
        <v>8</v>
      </c>
      <c r="O1" s="6" t="s">
        <v>9</v>
      </c>
    </row>
    <row r="2" customFormat="false" ht="19.5" hidden="false" customHeight="true" outlineLevel="0" collapsed="false">
      <c r="A2" s="7" t="s">
        <v>11</v>
      </c>
      <c r="B2" s="8" t="s">
        <v>12</v>
      </c>
      <c r="C2" s="8" t="s">
        <v>13</v>
      </c>
      <c r="D2" s="9" t="n">
        <v>15000000000</v>
      </c>
      <c r="E2" s="10" t="n">
        <v>0.05</v>
      </c>
      <c r="F2" s="9" t="n">
        <f aca="false">D2*(1-E2)</f>
        <v>14250000000</v>
      </c>
      <c r="G2" s="9" t="n">
        <f aca="false">D2*0.004</f>
        <v>60000000</v>
      </c>
      <c r="H2" s="7" t="s">
        <v>14</v>
      </c>
      <c r="I2" s="8" t="str">
        <f aca="false">VLOOKUP(H2,$M$2:$O$5,2,FALSE())</f>
        <v>Nguyễn An</v>
      </c>
      <c r="J2" s="10" t="n">
        <f aca="false">VLOOKUP(H2,$M$2:$O$5,3,FALSE())</f>
        <v>0.02</v>
      </c>
      <c r="K2" s="9" t="n">
        <f aca="false">D2*J2</f>
        <v>300000000</v>
      </c>
      <c r="M2" s="7" t="s">
        <v>14</v>
      </c>
      <c r="N2" s="8" t="s">
        <v>15</v>
      </c>
      <c r="O2" s="10" t="n">
        <v>0.02</v>
      </c>
    </row>
    <row r="3" customFormat="false" ht="19.5" hidden="false" customHeight="true" outlineLevel="0" collapsed="false">
      <c r="A3" s="11" t="s">
        <v>16</v>
      </c>
      <c r="B3" s="12" t="s">
        <v>17</v>
      </c>
      <c r="C3" s="12" t="s">
        <v>18</v>
      </c>
      <c r="D3" s="13" t="n">
        <v>3200000000</v>
      </c>
      <c r="E3" s="14" t="n">
        <v>0.03</v>
      </c>
      <c r="F3" s="13" t="n">
        <f aca="false">D3*(1-E3)</f>
        <v>3104000000</v>
      </c>
      <c r="G3" s="13" t="n">
        <f aca="false">D3*0.005</f>
        <v>16000000</v>
      </c>
      <c r="H3" s="11" t="s">
        <v>19</v>
      </c>
      <c r="I3" s="12" t="str">
        <f aca="false">VLOOKUP(H3,$M$2:$O$5,2,FALSE())</f>
        <v>Trần Minh</v>
      </c>
      <c r="J3" s="14" t="n">
        <f aca="false">VLOOKUP(H3,$M$2:$O$5,3,FALSE())</f>
        <v>0.015</v>
      </c>
      <c r="K3" s="13" t="n">
        <f aca="false">D3*J3</f>
        <v>48000000</v>
      </c>
      <c r="M3" s="11" t="s">
        <v>19</v>
      </c>
      <c r="N3" s="12" t="s">
        <v>20</v>
      </c>
      <c r="O3" s="14" t="n">
        <v>0.015</v>
      </c>
    </row>
    <row r="4" customFormat="false" ht="19.5" hidden="false" customHeight="true" outlineLevel="0" collapsed="false">
      <c r="A4" s="7" t="s">
        <v>21</v>
      </c>
      <c r="B4" s="8" t="s">
        <v>22</v>
      </c>
      <c r="C4" s="8" t="s">
        <v>23</v>
      </c>
      <c r="D4" s="9" t="n">
        <v>6800000000</v>
      </c>
      <c r="E4" s="10" t="n">
        <v>0.04</v>
      </c>
      <c r="F4" s="9" t="n">
        <f aca="false">D4*(1-E4)</f>
        <v>6528000000</v>
      </c>
      <c r="G4" s="9" t="n">
        <f aca="false">D4*0.0045</f>
        <v>30600000</v>
      </c>
      <c r="H4" s="7" t="s">
        <v>24</v>
      </c>
      <c r="I4" s="8" t="str">
        <f aca="false">VLOOKUP(H4,$M$2:$O$5,2,FALSE())</f>
        <v>Lê Hằng</v>
      </c>
      <c r="J4" s="10" t="n">
        <f aca="false">VLOOKUP(H4,$M$2:$O$5,3,FALSE())</f>
        <v>0.018</v>
      </c>
      <c r="K4" s="9" t="n">
        <f aca="false">D4*J4</f>
        <v>122400000</v>
      </c>
      <c r="M4" s="7" t="s">
        <v>24</v>
      </c>
      <c r="N4" s="8" t="s">
        <v>25</v>
      </c>
      <c r="O4" s="10" t="n">
        <v>0.018</v>
      </c>
    </row>
    <row r="5" customFormat="false" ht="19.5" hidden="false" customHeight="true" outlineLevel="0" collapsed="false">
      <c r="A5" s="11" t="s">
        <v>26</v>
      </c>
      <c r="B5" s="12" t="s">
        <v>27</v>
      </c>
      <c r="C5" s="12" t="s">
        <v>18</v>
      </c>
      <c r="D5" s="13" t="n">
        <v>2650000000</v>
      </c>
      <c r="E5" s="14" t="n">
        <v>0.02</v>
      </c>
      <c r="F5" s="13" t="n">
        <f aca="false">D5*(1-E5)</f>
        <v>2597000000</v>
      </c>
      <c r="G5" s="13" t="n">
        <f aca="false">D5*0.005</f>
        <v>13250000</v>
      </c>
      <c r="H5" s="11" t="s">
        <v>19</v>
      </c>
      <c r="I5" s="12" t="str">
        <f aca="false">VLOOKUP(H5,$M$2:$O$5,2,FALSE())</f>
        <v>Trần Minh</v>
      </c>
      <c r="J5" s="14" t="n">
        <f aca="false">VLOOKUP(H5,$M$2:$O$5,3,FALSE())</f>
        <v>0.015</v>
      </c>
      <c r="K5" s="13" t="n">
        <f aca="false">D5*J5</f>
        <v>39750000</v>
      </c>
      <c r="M5" s="11" t="s">
        <v>28</v>
      </c>
      <c r="N5" s="12" t="s">
        <v>29</v>
      </c>
      <c r="O5" s="14" t="n">
        <v>0.016</v>
      </c>
    </row>
    <row r="6" customFormat="false" ht="19.5" hidden="false" customHeight="true" outlineLevel="0" collapsed="false">
      <c r="A6" s="7" t="s">
        <v>30</v>
      </c>
      <c r="B6" s="8" t="s">
        <v>31</v>
      </c>
      <c r="C6" s="8" t="s">
        <v>13</v>
      </c>
      <c r="D6" s="9" t="n">
        <v>18500000000</v>
      </c>
      <c r="E6" s="10" t="n">
        <v>0.05</v>
      </c>
      <c r="F6" s="9" t="n">
        <f aca="false">D6*(1-E6)</f>
        <v>17575000000</v>
      </c>
      <c r="G6" s="9" t="n">
        <f aca="false">D6*0.004</f>
        <v>74000000</v>
      </c>
      <c r="H6" s="7" t="s">
        <v>14</v>
      </c>
      <c r="I6" s="8" t="str">
        <f aca="false">VLOOKUP(H6,$M$2:$O$5,2,FALSE())</f>
        <v>Nguyễn An</v>
      </c>
      <c r="J6" s="10" t="n">
        <f aca="false">VLOOKUP(H6,$M$2:$O$5,3,FALSE())</f>
        <v>0.02</v>
      </c>
      <c r="K6" s="9" t="n">
        <f aca="false">D6*J6</f>
        <v>370000000</v>
      </c>
    </row>
    <row r="7" customFormat="false" ht="19.5" hidden="false" customHeight="true" outlineLevel="0" collapsed="false">
      <c r="A7" s="11" t="s">
        <v>32</v>
      </c>
      <c r="B7" s="12" t="s">
        <v>33</v>
      </c>
      <c r="C7" s="12" t="s">
        <v>23</v>
      </c>
      <c r="D7" s="13" t="n">
        <v>5200000000</v>
      </c>
      <c r="E7" s="14" t="n">
        <v>0.035</v>
      </c>
      <c r="F7" s="13" t="n">
        <f aca="false">D7*(1-E7)</f>
        <v>5018000000</v>
      </c>
      <c r="G7" s="13" t="n">
        <f aca="false">D7*0.0045</f>
        <v>23400000</v>
      </c>
      <c r="H7" s="11" t="s">
        <v>28</v>
      </c>
      <c r="I7" s="12" t="str">
        <f aca="false">VLOOKUP(H7,$M$2:$O$5,2,FALSE())</f>
        <v>Phạm Nam</v>
      </c>
      <c r="J7" s="14" t="n">
        <f aca="false">VLOOKUP(H7,$M$2:$O$5,3,FALSE())</f>
        <v>0.016</v>
      </c>
      <c r="K7" s="13" t="n">
        <f aca="false">D7*J7</f>
        <v>83200000</v>
      </c>
    </row>
    <row r="8" customFormat="false" ht="21.75" hidden="false" customHeight="true" outlineLevel="0" collapsed="false">
      <c r="A8" s="15" t="s">
        <v>34</v>
      </c>
      <c r="B8" s="16" t="s">
        <v>35</v>
      </c>
      <c r="C8" s="16" t="s">
        <v>36</v>
      </c>
      <c r="D8" s="17" t="n">
        <f aca="false">SUM(D2:D7)</f>
        <v>51350000000</v>
      </c>
      <c r="E8" s="18" t="n">
        <f aca="false">AVERAGE(E2:E7)</f>
        <v>0.0375</v>
      </c>
      <c r="F8" s="17" t="n">
        <f aca="false">SUM(F2:F7)</f>
        <v>49072000000</v>
      </c>
      <c r="G8" s="17" t="n">
        <f aca="false">SUM(G2:G7)</f>
        <v>217250000</v>
      </c>
      <c r="H8" s="15" t="s">
        <v>36</v>
      </c>
      <c r="I8" s="16" t="s">
        <v>36</v>
      </c>
      <c r="J8" s="18" t="n">
        <f aca="false">AVERAGE(J2:J7)</f>
        <v>0.0173333333333333</v>
      </c>
      <c r="K8" s="17" t="n">
        <f aca="false">SUM(K2:K7)</f>
        <v>963350000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37</v>
      </c>
      <c r="E1" s="1" t="s">
        <v>7</v>
      </c>
      <c r="F1" s="3" t="s">
        <v>9</v>
      </c>
      <c r="G1" s="3" t="s">
        <v>10</v>
      </c>
      <c r="H1" s="4" t="s">
        <v>7</v>
      </c>
      <c r="I1" s="5" t="s">
        <v>8</v>
      </c>
      <c r="J1" s="6" t="s">
        <v>9</v>
      </c>
    </row>
    <row r="2" customFormat="false" ht="19.5" hidden="false" customHeight="true" outlineLevel="0" collapsed="false">
      <c r="A2" s="7" t="s">
        <v>11</v>
      </c>
      <c r="B2" s="8" t="s">
        <v>12</v>
      </c>
      <c r="C2" s="8" t="s">
        <v>13</v>
      </c>
      <c r="D2" s="9" t="n">
        <v>15000000000</v>
      </c>
      <c r="E2" s="7" t="s">
        <v>14</v>
      </c>
      <c r="F2" s="10" t="n">
        <f aca="false">VLOOKUP(E2,$H$4:$J$7,3,FALSE())</f>
        <v>0.02</v>
      </c>
      <c r="G2" s="9" t="n">
        <f aca="false">D2*F2</f>
        <v>300000000</v>
      </c>
    </row>
    <row r="3" customFormat="false" ht="19.5" hidden="false" customHeight="true" outlineLevel="0" collapsed="false">
      <c r="A3" s="11" t="s">
        <v>16</v>
      </c>
      <c r="B3" s="12" t="s">
        <v>17</v>
      </c>
      <c r="C3" s="12" t="s">
        <v>18</v>
      </c>
      <c r="D3" s="13" t="n">
        <v>3200000000</v>
      </c>
      <c r="E3" s="11" t="s">
        <v>19</v>
      </c>
      <c r="F3" s="14" t="n">
        <f aca="false">VLOOKUP(E3,$H$4:$J$7,3,FALSE())</f>
        <v>0.015</v>
      </c>
      <c r="G3" s="13" t="n">
        <f aca="false">D3*F3</f>
        <v>48000000</v>
      </c>
    </row>
    <row r="4" customFormat="false" ht="19.5" hidden="false" customHeight="true" outlineLevel="0" collapsed="false">
      <c r="A4" s="7" t="s">
        <v>21</v>
      </c>
      <c r="B4" s="8" t="s">
        <v>22</v>
      </c>
      <c r="C4" s="8" t="s">
        <v>23</v>
      </c>
      <c r="D4" s="9" t="n">
        <v>6800000000</v>
      </c>
      <c r="E4" s="7" t="s">
        <v>24</v>
      </c>
      <c r="F4" s="10" t="n">
        <f aca="false">VLOOKUP(E4,$H$4:$J$7,3,FALSE())</f>
        <v>0.018</v>
      </c>
      <c r="G4" s="9" t="n">
        <f aca="false">D4*F4</f>
        <v>122400000</v>
      </c>
      <c r="H4" s="7" t="s">
        <v>14</v>
      </c>
      <c r="I4" s="8" t="s">
        <v>15</v>
      </c>
      <c r="J4" s="10" t="n">
        <v>0.02</v>
      </c>
    </row>
    <row r="5" customFormat="false" ht="19.5" hidden="false" customHeight="true" outlineLevel="0" collapsed="false">
      <c r="A5" s="11" t="s">
        <v>26</v>
      </c>
      <c r="B5" s="12" t="s">
        <v>27</v>
      </c>
      <c r="C5" s="12" t="s">
        <v>18</v>
      </c>
      <c r="D5" s="13" t="n">
        <v>2650000000</v>
      </c>
      <c r="E5" s="11" t="s">
        <v>19</v>
      </c>
      <c r="F5" s="14" t="n">
        <f aca="false">VLOOKUP(E5,$H$4:$J$7,3,FALSE())</f>
        <v>0.015</v>
      </c>
      <c r="G5" s="13" t="n">
        <f aca="false">D5*F5</f>
        <v>39750000</v>
      </c>
      <c r="H5" s="11" t="s">
        <v>19</v>
      </c>
      <c r="I5" s="12" t="s">
        <v>20</v>
      </c>
      <c r="J5" s="14" t="n">
        <v>0.015</v>
      </c>
    </row>
    <row r="6" customFormat="false" ht="19.5" hidden="false" customHeight="true" outlineLevel="0" collapsed="false">
      <c r="A6" s="7" t="s">
        <v>30</v>
      </c>
      <c r="B6" s="8" t="s">
        <v>31</v>
      </c>
      <c r="C6" s="8" t="s">
        <v>13</v>
      </c>
      <c r="D6" s="9" t="n">
        <v>18500000000</v>
      </c>
      <c r="E6" s="7" t="s">
        <v>14</v>
      </c>
      <c r="F6" s="10" t="n">
        <f aca="false">VLOOKUP(E6,$H$4:$J$7,3,FALSE())</f>
        <v>0.02</v>
      </c>
      <c r="G6" s="9" t="n">
        <f aca="false">D6*F6</f>
        <v>370000000</v>
      </c>
      <c r="H6" s="7" t="s">
        <v>24</v>
      </c>
      <c r="I6" s="8" t="s">
        <v>25</v>
      </c>
      <c r="J6" s="10" t="n">
        <v>0.018</v>
      </c>
    </row>
    <row r="7" customFormat="false" ht="19.5" hidden="false" customHeight="true" outlineLevel="0" collapsed="false">
      <c r="A7" s="11" t="s">
        <v>32</v>
      </c>
      <c r="B7" s="12" t="s">
        <v>33</v>
      </c>
      <c r="C7" s="12" t="s">
        <v>23</v>
      </c>
      <c r="D7" s="13" t="n">
        <v>5200000000</v>
      </c>
      <c r="E7" s="11" t="s">
        <v>28</v>
      </c>
      <c r="F7" s="14" t="n">
        <f aca="false">VLOOKUP(E7,$H$4:$J$7,3,FALSE())</f>
        <v>0.016</v>
      </c>
      <c r="G7" s="13" t="n">
        <f aca="false">D7*F7</f>
        <v>83200000</v>
      </c>
      <c r="H7" s="11" t="s">
        <v>28</v>
      </c>
      <c r="I7" s="12" t="s">
        <v>29</v>
      </c>
      <c r="J7" s="14" t="n">
        <v>0.016</v>
      </c>
    </row>
    <row r="8" customFormat="false" ht="21.75" hidden="false" customHeight="true" outlineLevel="0" collapsed="false">
      <c r="A8" s="15" t="s">
        <v>34</v>
      </c>
      <c r="B8" s="16" t="s">
        <v>35</v>
      </c>
      <c r="C8" s="16" t="s">
        <v>36</v>
      </c>
      <c r="D8" s="17" t="n">
        <f aca="false">SUM(D2:D7)</f>
        <v>51350000000</v>
      </c>
      <c r="E8" s="15" t="s">
        <v>36</v>
      </c>
      <c r="F8" s="18" t="n">
        <f aca="false">AVERAGE(F2:F7)</f>
        <v>0.0173333333333333</v>
      </c>
      <c r="G8" s="17" t="n">
        <f aca="false">SUM(G2:G7)</f>
        <v>963350000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2026-10-27T01:37:33Z</dcterms:created>
  <dc:creator>openpyxl</dc:creator>
  <dc:description/>
  <dc:language>en-US</dc:language>
  <cp:lastModifiedBy/>
  <dcterms:modified xsi:type="dcterms:W3CDTF">2026-10-27T01:37:33Z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